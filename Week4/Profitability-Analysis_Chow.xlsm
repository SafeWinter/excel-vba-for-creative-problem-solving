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\Desktop\VBA_coursera\Part3\5-Monte Carlo Simulation Project\"/>
    </mc:Choice>
  </mc:AlternateContent>
  <xr:revisionPtr revIDLastSave="0" documentId="13_ncr:1_{E2EF207E-1566-416A-88DC-EB5EBCBFB63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Histogram" sheetId="95" r:id="rId2"/>
    <sheet name="Histogram Data" sheetId="2" r:id="rId3"/>
  </sheets>
  <functionGroups builtInGroupCount="19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24" i="1" l="1"/>
  <c r="L24" i="1" s="1"/>
  <c r="M24" i="1" s="1"/>
  <c r="L11" i="1"/>
  <c r="M11" i="1" s="1"/>
  <c r="K22" i="1"/>
  <c r="L22" i="1" s="1"/>
  <c r="M22" i="1" s="1"/>
  <c r="K23" i="1"/>
  <c r="L23" i="1" s="1"/>
  <c r="M23" i="1" s="1"/>
  <c r="K21" i="1"/>
  <c r="L21" i="1" s="1"/>
  <c r="M21" i="1" s="1"/>
  <c r="K20" i="1"/>
  <c r="L20" i="1" s="1"/>
  <c r="M20" i="1" s="1"/>
  <c r="K19" i="1"/>
  <c r="L19" i="1" s="1"/>
  <c r="M19" i="1" s="1"/>
  <c r="K13" i="1"/>
  <c r="L13" i="1" s="1"/>
  <c r="M13" i="1" s="1"/>
  <c r="K15" i="1"/>
  <c r="L15" i="1" s="1"/>
  <c r="M15" i="1" s="1"/>
  <c r="K17" i="1"/>
  <c r="L17" i="1" s="1"/>
  <c r="M17" i="1" s="1"/>
  <c r="K12" i="1"/>
  <c r="L12" i="1" s="1"/>
  <c r="M12" i="1" s="1"/>
  <c r="K14" i="1"/>
  <c r="L14" i="1" s="1"/>
  <c r="M14" i="1" s="1"/>
  <c r="K16" i="1"/>
  <c r="L16" i="1" s="1"/>
  <c r="M16" i="1" s="1"/>
  <c r="K18" i="1"/>
  <c r="L18" i="1" s="1"/>
  <c r="M18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<sst xmlns="http://schemas.openxmlformats.org/spreadsheetml/2006/main" count="28" uniqueCount="23">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</sst>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&quot;$&quot;* #,##0.00_);_(&quot;$&quot;* \(#,##0.00\);_(&quot;$&quot;* &quot;-&quot;??_);_(@_)"/>
    <numFmt numFmtId="177" formatCode="0.0%"/>
    <numFmt numFmtId="178" formatCode="0.0"/>
  </numFmts>
  <fonts count="4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rgb="FF000000"/>
      <name val="Calibri"/>
      <family val="2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176" fontId="0" fillId="0" borderId="0" xfId="1" applyFont="1"/>
    <xf numFmtId="176" fontId="0" fillId="0" borderId="0" xfId="0" applyNumberFormat="1"/>
    <xf numFmtId="0" fontId="0" fillId="0" borderId="0" xfId="0" quotePrefix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77" fontId="0" fillId="2" borderId="4" xfId="2" applyNumberFormat="1" applyFont="1" applyFill="1" applyBorder="1"/>
    <xf numFmtId="178" fontId="0" fillId="2" borderId="3" xfId="0" applyNumberFormat="1" applyFill="1" applyBorder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78" fontId="0" fillId="2" borderId="4" xfId="0" applyNumberFormat="1" applyFill="1" applyBorder="1"/>
    <xf numFmtId="178" fontId="0" fillId="2" borderId="2" xfId="0" applyNumberFormat="1" applyFill="1" applyBorder="1"/>
  </cellXfs>
  <cellStyles count="3">
    <cellStyle name="百分比" xfId="2" builtinId="5"/>
    <cellStyle name="常规" xfId="0" builtinId="0"/>
    <cellStyle name="货币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Data'!$A$1:$A$56</c:f>
              <c:numCache>
                <c:formatCode>General</c:formatCode>
                <c:ptCount val="56"/>
                <c:pt idx="0">
                  <c:v>0</c:v>
                </c:pt>
                <c:pt idx="1">
                  <c:v>-76.5</c:v>
                </c:pt>
                <c:pt idx="2">
                  <c:v>-73.5</c:v>
                </c:pt>
                <c:pt idx="3">
                  <c:v>-70.5</c:v>
                </c:pt>
                <c:pt idx="4">
                  <c:v>-67.5</c:v>
                </c:pt>
                <c:pt idx="5">
                  <c:v>-64.5</c:v>
                </c:pt>
                <c:pt idx="6">
                  <c:v>-61.5</c:v>
                </c:pt>
                <c:pt idx="7">
                  <c:v>-58.5</c:v>
                </c:pt>
                <c:pt idx="8">
                  <c:v>-55.5</c:v>
                </c:pt>
                <c:pt idx="9">
                  <c:v>-52.5</c:v>
                </c:pt>
                <c:pt idx="10">
                  <c:v>-49.5</c:v>
                </c:pt>
                <c:pt idx="11">
                  <c:v>-46.5</c:v>
                </c:pt>
                <c:pt idx="12">
                  <c:v>-43.5</c:v>
                </c:pt>
                <c:pt idx="13">
                  <c:v>-40.5</c:v>
                </c:pt>
                <c:pt idx="14">
                  <c:v>-37.5</c:v>
                </c:pt>
                <c:pt idx="15">
                  <c:v>-34.5</c:v>
                </c:pt>
                <c:pt idx="16">
                  <c:v>-31.5</c:v>
                </c:pt>
                <c:pt idx="17">
                  <c:v>-28.5</c:v>
                </c:pt>
                <c:pt idx="18">
                  <c:v>-25.5</c:v>
                </c:pt>
                <c:pt idx="19">
                  <c:v>-22.5</c:v>
                </c:pt>
                <c:pt idx="20">
                  <c:v>-19.5</c:v>
                </c:pt>
                <c:pt idx="21">
                  <c:v>-16.5</c:v>
                </c:pt>
                <c:pt idx="22">
                  <c:v>-13.5</c:v>
                </c:pt>
                <c:pt idx="23">
                  <c:v>-10.5</c:v>
                </c:pt>
                <c:pt idx="24">
                  <c:v>-7.5</c:v>
                </c:pt>
                <c:pt idx="25">
                  <c:v>-4.5</c:v>
                </c:pt>
                <c:pt idx="26">
                  <c:v>-1.5</c:v>
                </c:pt>
                <c:pt idx="27">
                  <c:v>1.5</c:v>
                </c:pt>
                <c:pt idx="28">
                  <c:v>4.5</c:v>
                </c:pt>
                <c:pt idx="29">
                  <c:v>7.5</c:v>
                </c:pt>
                <c:pt idx="30">
                  <c:v>10.5</c:v>
                </c:pt>
                <c:pt idx="31">
                  <c:v>13.5</c:v>
                </c:pt>
                <c:pt idx="32">
                  <c:v>16.5</c:v>
                </c:pt>
                <c:pt idx="33">
                  <c:v>19.5</c:v>
                </c:pt>
                <c:pt idx="34">
                  <c:v>22.5</c:v>
                </c:pt>
                <c:pt idx="35">
                  <c:v>25.5</c:v>
                </c:pt>
                <c:pt idx="36">
                  <c:v>28.5</c:v>
                </c:pt>
                <c:pt idx="37">
                  <c:v>31.5</c:v>
                </c:pt>
                <c:pt idx="38">
                  <c:v>34.5</c:v>
                </c:pt>
                <c:pt idx="39">
                  <c:v>37.5</c:v>
                </c:pt>
                <c:pt idx="40">
                  <c:v>40.5</c:v>
                </c:pt>
                <c:pt idx="41">
                  <c:v>43.5</c:v>
                </c:pt>
                <c:pt idx="42">
                  <c:v>46.5</c:v>
                </c:pt>
                <c:pt idx="43">
                  <c:v>49.5</c:v>
                </c:pt>
                <c:pt idx="44">
                  <c:v>52.5</c:v>
                </c:pt>
                <c:pt idx="45">
                  <c:v>55.5</c:v>
                </c:pt>
                <c:pt idx="46">
                  <c:v>58.5</c:v>
                </c:pt>
                <c:pt idx="47">
                  <c:v>61.5</c:v>
                </c:pt>
                <c:pt idx="48">
                  <c:v>64.5</c:v>
                </c:pt>
                <c:pt idx="49">
                  <c:v>67.5</c:v>
                </c:pt>
                <c:pt idx="50">
                  <c:v>70.5</c:v>
                </c:pt>
                <c:pt idx="51">
                  <c:v>73.5</c:v>
                </c:pt>
                <c:pt idx="52">
                  <c:v>76.5</c:v>
                </c:pt>
                <c:pt idx="53">
                  <c:v>79.5</c:v>
                </c:pt>
                <c:pt idx="54">
                  <c:v>82.5</c:v>
                </c:pt>
                <c:pt idx="55">
                  <c:v>85.5</c:v>
                </c:pt>
              </c:numCache>
            </c:numRef>
          </c:cat>
          <c:val>
            <c:numRef>
              <c:f>'Histogram Data'!$B$1:$B$56</c:f>
              <c:numCache>
                <c:formatCode>General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24</c:v>
                </c:pt>
                <c:pt idx="7">
                  <c:v>36</c:v>
                </c:pt>
                <c:pt idx="8">
                  <c:v>43</c:v>
                </c:pt>
                <c:pt idx="9">
                  <c:v>59</c:v>
                </c:pt>
                <c:pt idx="10">
                  <c:v>96</c:v>
                </c:pt>
                <c:pt idx="11">
                  <c:v>126</c:v>
                </c:pt>
                <c:pt idx="12">
                  <c:v>162</c:v>
                </c:pt>
                <c:pt idx="13">
                  <c:v>190</c:v>
                </c:pt>
                <c:pt idx="14">
                  <c:v>224</c:v>
                </c:pt>
                <c:pt idx="15">
                  <c:v>271</c:v>
                </c:pt>
                <c:pt idx="16">
                  <c:v>344</c:v>
                </c:pt>
                <c:pt idx="17">
                  <c:v>383</c:v>
                </c:pt>
                <c:pt idx="18">
                  <c:v>357</c:v>
                </c:pt>
                <c:pt idx="19">
                  <c:v>425</c:v>
                </c:pt>
                <c:pt idx="20">
                  <c:v>494</c:v>
                </c:pt>
                <c:pt idx="21">
                  <c:v>517</c:v>
                </c:pt>
                <c:pt idx="22">
                  <c:v>512</c:v>
                </c:pt>
                <c:pt idx="23">
                  <c:v>509</c:v>
                </c:pt>
                <c:pt idx="24">
                  <c:v>477</c:v>
                </c:pt>
                <c:pt idx="25">
                  <c:v>501</c:v>
                </c:pt>
                <c:pt idx="26">
                  <c:v>471</c:v>
                </c:pt>
                <c:pt idx="27">
                  <c:v>446</c:v>
                </c:pt>
                <c:pt idx="28">
                  <c:v>398</c:v>
                </c:pt>
                <c:pt idx="29">
                  <c:v>400</c:v>
                </c:pt>
                <c:pt idx="30">
                  <c:v>360</c:v>
                </c:pt>
                <c:pt idx="31">
                  <c:v>361</c:v>
                </c:pt>
                <c:pt idx="32">
                  <c:v>279</c:v>
                </c:pt>
                <c:pt idx="33">
                  <c:v>252</c:v>
                </c:pt>
                <c:pt idx="34">
                  <c:v>245</c:v>
                </c:pt>
                <c:pt idx="35">
                  <c:v>179</c:v>
                </c:pt>
                <c:pt idx="36">
                  <c:v>159</c:v>
                </c:pt>
                <c:pt idx="37">
                  <c:v>150</c:v>
                </c:pt>
                <c:pt idx="38">
                  <c:v>116</c:v>
                </c:pt>
                <c:pt idx="39">
                  <c:v>100</c:v>
                </c:pt>
                <c:pt idx="40">
                  <c:v>94</c:v>
                </c:pt>
                <c:pt idx="41">
                  <c:v>37</c:v>
                </c:pt>
                <c:pt idx="42">
                  <c:v>54</c:v>
                </c:pt>
                <c:pt idx="43">
                  <c:v>35</c:v>
                </c:pt>
                <c:pt idx="44">
                  <c:v>25</c:v>
                </c:pt>
                <c:pt idx="45">
                  <c:v>19</c:v>
                </c:pt>
                <c:pt idx="46">
                  <c:v>11</c:v>
                </c:pt>
                <c:pt idx="47">
                  <c:v>11</c:v>
                </c:pt>
                <c:pt idx="48">
                  <c:v>10</c:v>
                </c:pt>
                <c:pt idx="49">
                  <c:v>4</c:v>
                </c:pt>
                <c:pt idx="50">
                  <c:v>5</c:v>
                </c:pt>
                <c:pt idx="51">
                  <c:v>3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6-43A9-9C86-001528E3E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5532080"/>
        <c:axId val="615540240"/>
      </c:barChart>
      <c:catAx>
        <c:axId val="615532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15540240"/>
        <c:crosses val="autoZero"/>
        <c:auto val="1"/>
        <c:lblAlgn val="ctr"/>
        <c:lblOffset val="100"/>
        <c:noMultiLvlLbl val="0"/>
      </c:catAx>
      <c:valAx>
        <c:axId val="61554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155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2A5635-BDEA-43C5-B71F-8E05F450657D}">
  <sheetPr codeName="图表14"/>
  <sheetViews>
    <sheetView zoomScale="12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885825</xdr:colOff>
          <xdr:row>25</xdr:row>
          <xdr:rowOff>85725</xdr:rowOff>
        </xdr:from>
        <xdr:to>
          <xdr:col>4</xdr:col>
          <xdr:colOff>400050</xdr:colOff>
          <xdr:row>27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750" cy="6072188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56E87A6-3FD4-A724-910B-38BCF7B9F71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abSelected="1" zoomScaleNormal="100" workbookViewId="0"/>
  </sheetViews>
  <sheetFormatPr defaultRowHeight="13.5" x14ac:dyDescent="0.15"/>
  <cols>
    <col min="1" max="1" width="19.125" bestFit="1" customWidth="1"/>
    <col min="2" max="2" width="11.875" bestFit="1" customWidth="1"/>
    <col min="3" max="3" width="13.125" customWidth="1"/>
    <col min="4" max="4" width="9.875" bestFit="1" customWidth="1"/>
    <col min="5" max="5" width="10.5" bestFit="1" customWidth="1"/>
    <col min="6" max="6" width="10.75" customWidth="1"/>
    <col min="7" max="7" width="11.875" bestFit="1" customWidth="1"/>
    <col min="8" max="8" width="11" customWidth="1"/>
    <col min="9" max="10" width="9.125" bestFit="1" customWidth="1"/>
  </cols>
  <sheetData>
    <row r="1" spans="1:16" x14ac:dyDescent="0.15">
      <c r="A1" t="s">
        <v>0</v>
      </c>
    </row>
    <row r="2" spans="1:16" ht="14.25" thickBot="1" x14ac:dyDescent="0.2"/>
    <row r="3" spans="1:16" x14ac:dyDescent="0.15">
      <c r="A3" t="s">
        <v>1</v>
      </c>
      <c r="B3" s="4">
        <v>-5</v>
      </c>
      <c r="D3" t="s">
        <v>2</v>
      </c>
      <c r="E3" s="13">
        <v>43.80409660839539</v>
      </c>
      <c r="G3" t="s">
        <v>3</v>
      </c>
      <c r="H3" s="4">
        <v>-7.7903090552764471</v>
      </c>
    </row>
    <row r="4" spans="1:16" ht="14.25" thickBot="1" x14ac:dyDescent="0.2">
      <c r="A4" t="s">
        <v>4</v>
      </c>
      <c r="B4" s="5">
        <v>-13.689195605650319</v>
      </c>
      <c r="D4" t="s">
        <v>5</v>
      </c>
      <c r="E4" s="6">
        <v>0.4</v>
      </c>
      <c r="G4" t="s">
        <v>6</v>
      </c>
      <c r="H4" s="7">
        <v>0.11006391048431396</v>
      </c>
    </row>
    <row r="5" spans="1:16" x14ac:dyDescent="0.15">
      <c r="A5" t="s">
        <v>7</v>
      </c>
      <c r="B5" s="8">
        <v>-74.022140792257034</v>
      </c>
    </row>
    <row r="6" spans="1:16" x14ac:dyDescent="0.15">
      <c r="A6" t="s">
        <v>8</v>
      </c>
      <c r="B6" s="8">
        <v>-14.420813381671906</v>
      </c>
      <c r="E6" t="s">
        <v>9</v>
      </c>
    </row>
    <row r="7" spans="1:16" ht="14.25" thickBot="1" x14ac:dyDescent="0.2">
      <c r="A7" t="s">
        <v>10</v>
      </c>
      <c r="B7" s="12">
        <v>-12.863001780062525</v>
      </c>
      <c r="E7" t="s">
        <v>11</v>
      </c>
    </row>
    <row r="8" spans="1:16" x14ac:dyDescent="0.15">
      <c r="M8" t="s">
        <v>12</v>
      </c>
    </row>
    <row r="9" spans="1:16" x14ac:dyDescent="0.15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15">
      <c r="A10">
        <v>1</v>
      </c>
      <c r="B10" s="9">
        <f>0.5*CTDC</f>
        <v>-37.011070396128517</v>
      </c>
      <c r="C10" s="9"/>
      <c r="D10" s="9">
        <f>Cland</f>
        <v>-5</v>
      </c>
      <c r="E10" s="9"/>
      <c r="F10" s="9"/>
      <c r="G10" s="9"/>
      <c r="H10" s="9"/>
      <c r="I10" s="9"/>
      <c r="J10" s="9"/>
      <c r="L10">
        <f>B10+D10</f>
        <v>-42.011070396128517</v>
      </c>
      <c r="M10" s="9">
        <f t="shared" ref="M10:M24" si="0">L10/(1+i)^(A10-1)</f>
        <v>-42.011070396128517</v>
      </c>
      <c r="N10" s="9">
        <f>M10</f>
        <v>-42.011070396128517</v>
      </c>
    </row>
    <row r="11" spans="1:16" x14ac:dyDescent="0.15">
      <c r="A11">
        <v>2</v>
      </c>
      <c r="B11" s="9">
        <f>0.5*CTDC</f>
        <v>-37.011070396128517</v>
      </c>
      <c r="C11" s="9">
        <f>WC</f>
        <v>-14.420813381671906</v>
      </c>
      <c r="D11" s="9"/>
      <c r="E11" s="9"/>
      <c r="F11" s="9">
        <f>Cstart</f>
        <v>-12.863001780062525</v>
      </c>
      <c r="G11" s="9"/>
      <c r="H11" s="9"/>
      <c r="I11" s="9"/>
      <c r="J11" s="9"/>
      <c r="L11">
        <f>B11+C11+F11</f>
        <v>-64.294885557862955</v>
      </c>
      <c r="M11" s="9">
        <f t="shared" si="0"/>
        <v>-57.919985462649173</v>
      </c>
      <c r="N11" s="9">
        <f>N10+M11</f>
        <v>-99.931055858777682</v>
      </c>
    </row>
    <row r="12" spans="1:16" x14ac:dyDescent="0.15">
      <c r="A12">
        <v>3</v>
      </c>
      <c r="B12" s="9"/>
      <c r="C12" s="9"/>
      <c r="D12" s="9"/>
      <c r="E12" s="9">
        <f t="shared" ref="E12:E24" si="1">Croyal</f>
        <v>-13.689195605650319</v>
      </c>
      <c r="F12" s="9"/>
      <c r="G12" s="9"/>
      <c r="H12" s="9">
        <f>P12*-CTDC</f>
        <v>10.577763919213529</v>
      </c>
      <c r="I12" s="9">
        <f>0.5*S</f>
        <v>21.902048304197695</v>
      </c>
      <c r="J12" s="9">
        <f>0.5*COS</f>
        <v>-3.8951545276382236</v>
      </c>
      <c r="K12" s="9">
        <f>(1-tax)*(I12-J12-H12)</f>
        <v>9.1316633475734328</v>
      </c>
      <c r="L12" s="9">
        <f t="shared" ref="L12:L23" si="2">K12+H12+E12</f>
        <v>6.0202316611366413</v>
      </c>
      <c r="M12" s="9">
        <f t="shared" si="0"/>
        <v>4.8855924576684568</v>
      </c>
      <c r="N12" s="9">
        <f t="shared" ref="N12:N23" si="3">N11+M12</f>
        <v>-95.045463401109231</v>
      </c>
      <c r="P12" s="10">
        <v>0.1429</v>
      </c>
    </row>
    <row r="13" spans="1:16" x14ac:dyDescent="0.15">
      <c r="A13">
        <v>4</v>
      </c>
      <c r="B13" s="9"/>
      <c r="C13" s="9"/>
      <c r="D13" s="9"/>
      <c r="E13" s="9">
        <f t="shared" si="1"/>
        <v>-13.689195605650319</v>
      </c>
      <c r="F13" s="9"/>
      <c r="G13" s="9"/>
      <c r="H13" s="9">
        <f t="shared" ref="H13:H19" si="4">P13*-CTDC</f>
        <v>18.12802228002375</v>
      </c>
      <c r="I13" s="9">
        <f>0.8*S</f>
        <v>35.043277286716311</v>
      </c>
      <c r="J13" s="9">
        <f>0.8*COS</f>
        <v>-6.2322472442211581</v>
      </c>
      <c r="K13" s="9">
        <f t="shared" ref="K13:K24" si="5">(1-tax)*(I13-J13-H13)</f>
        <v>13.88850135054823</v>
      </c>
      <c r="L13" s="9">
        <f t="shared" si="2"/>
        <v>18.327328024921663</v>
      </c>
      <c r="M13" s="9">
        <f t="shared" si="0"/>
        <v>13.398469829232818</v>
      </c>
      <c r="N13" s="9">
        <f t="shared" si="3"/>
        <v>-81.646993571876408</v>
      </c>
      <c r="P13" s="10">
        <v>0.24490000000000001</v>
      </c>
    </row>
    <row r="14" spans="1:16" x14ac:dyDescent="0.15">
      <c r="A14">
        <v>5</v>
      </c>
      <c r="B14" s="9"/>
      <c r="C14" s="9"/>
      <c r="D14" s="9"/>
      <c r="E14" s="9">
        <f t="shared" si="1"/>
        <v>-13.689195605650319</v>
      </c>
      <c r="F14" s="9"/>
      <c r="G14" s="9"/>
      <c r="H14" s="9">
        <f t="shared" si="4"/>
        <v>12.946472424565755</v>
      </c>
      <c r="I14" s="9">
        <f t="shared" ref="I14:I24" si="6">S</f>
        <v>43.80409660839539</v>
      </c>
      <c r="J14" s="9">
        <f t="shared" ref="J14:J24" si="7">COS</f>
        <v>-7.7903090552764471</v>
      </c>
      <c r="K14" s="9">
        <f t="shared" si="5"/>
        <v>23.188759943463648</v>
      </c>
      <c r="L14" s="9">
        <f t="shared" si="2"/>
        <v>22.446036762379087</v>
      </c>
      <c r="M14" s="9">
        <f t="shared" si="0"/>
        <v>14.782494840547139</v>
      </c>
      <c r="N14" s="9">
        <f t="shared" si="3"/>
        <v>-66.864498731329263</v>
      </c>
      <c r="P14" s="10">
        <v>0.1749</v>
      </c>
    </row>
    <row r="15" spans="1:16" x14ac:dyDescent="0.15">
      <c r="A15">
        <v>6</v>
      </c>
      <c r="B15" s="9"/>
      <c r="C15" s="9"/>
      <c r="D15" s="9"/>
      <c r="E15" s="9">
        <f t="shared" si="1"/>
        <v>-13.689195605650319</v>
      </c>
      <c r="F15" s="9"/>
      <c r="G15" s="9"/>
      <c r="H15" s="9">
        <f t="shared" si="4"/>
        <v>9.2453653849529029</v>
      </c>
      <c r="I15" s="9">
        <f t="shared" si="6"/>
        <v>43.80409660839539</v>
      </c>
      <c r="J15" s="9">
        <f t="shared" si="7"/>
        <v>-7.7903090552764471</v>
      </c>
      <c r="K15" s="9">
        <f t="shared" si="5"/>
        <v>25.409424167231357</v>
      </c>
      <c r="L15" s="9">
        <f t="shared" si="2"/>
        <v>20.965593946533943</v>
      </c>
      <c r="M15" s="9">
        <f t="shared" si="0"/>
        <v>12.438478306604473</v>
      </c>
      <c r="N15" s="9">
        <f t="shared" si="3"/>
        <v>-54.42602042472479</v>
      </c>
      <c r="P15" s="10">
        <v>0.1249</v>
      </c>
    </row>
    <row r="16" spans="1:16" x14ac:dyDescent="0.15">
      <c r="A16">
        <v>7</v>
      </c>
      <c r="B16" s="9"/>
      <c r="C16" s="9"/>
      <c r="D16" s="9"/>
      <c r="E16" s="9">
        <f t="shared" si="1"/>
        <v>-13.689195605650319</v>
      </c>
      <c r="F16" s="9"/>
      <c r="G16" s="9"/>
      <c r="H16" s="9">
        <f t="shared" si="4"/>
        <v>6.6101771727485534</v>
      </c>
      <c r="I16" s="9">
        <f t="shared" si="6"/>
        <v>43.80409660839539</v>
      </c>
      <c r="J16" s="9">
        <f t="shared" si="7"/>
        <v>-7.7903090552764471</v>
      </c>
      <c r="K16" s="9">
        <f t="shared" si="5"/>
        <v>26.990537094553972</v>
      </c>
      <c r="L16" s="9">
        <f t="shared" si="2"/>
        <v>19.911518661652202</v>
      </c>
      <c r="M16" s="9">
        <f t="shared" si="0"/>
        <v>10.641834105722321</v>
      </c>
      <c r="N16" s="9">
        <f t="shared" si="3"/>
        <v>-43.784186319002472</v>
      </c>
      <c r="P16" s="10">
        <v>8.9300000000000004E-2</v>
      </c>
    </row>
    <row r="17" spans="1:16" x14ac:dyDescent="0.15">
      <c r="A17">
        <v>8</v>
      </c>
      <c r="B17" s="9"/>
      <c r="C17" s="9"/>
      <c r="D17" s="9"/>
      <c r="E17" s="9">
        <f t="shared" si="1"/>
        <v>-13.689195605650319</v>
      </c>
      <c r="F17" s="9"/>
      <c r="G17" s="9"/>
      <c r="H17" s="9">
        <f t="shared" si="4"/>
        <v>6.6027749586693272</v>
      </c>
      <c r="I17" s="9">
        <f t="shared" si="6"/>
        <v>43.80409660839539</v>
      </c>
      <c r="J17" s="9">
        <f t="shared" si="7"/>
        <v>-7.7903090552764471</v>
      </c>
      <c r="K17" s="9">
        <f t="shared" si="5"/>
        <v>26.994978423001502</v>
      </c>
      <c r="L17" s="9">
        <f t="shared" si="2"/>
        <v>19.908557776020508</v>
      </c>
      <c r="M17" s="9">
        <f t="shared" si="0"/>
        <v>9.5852603995298047</v>
      </c>
      <c r="N17" s="9">
        <f t="shared" si="3"/>
        <v>-34.198925919472671</v>
      </c>
      <c r="P17" s="10">
        <v>8.9200000000000002E-2</v>
      </c>
    </row>
    <row r="18" spans="1:16" x14ac:dyDescent="0.15">
      <c r="A18">
        <v>9</v>
      </c>
      <c r="B18" s="9"/>
      <c r="C18" s="9"/>
      <c r="D18" s="9"/>
      <c r="E18" s="9">
        <f t="shared" si="1"/>
        <v>-13.689195605650319</v>
      </c>
      <c r="F18" s="9"/>
      <c r="G18" s="9"/>
      <c r="H18" s="9">
        <f t="shared" si="4"/>
        <v>6.6101771727485534</v>
      </c>
      <c r="I18" s="9">
        <f t="shared" si="6"/>
        <v>43.80409660839539</v>
      </c>
      <c r="J18" s="9">
        <f t="shared" si="7"/>
        <v>-7.7903090552764471</v>
      </c>
      <c r="K18" s="9">
        <f t="shared" si="5"/>
        <v>26.990537094553972</v>
      </c>
      <c r="L18" s="9">
        <f t="shared" si="2"/>
        <v>19.911518661652202</v>
      </c>
      <c r="M18" s="9">
        <f t="shared" si="0"/>
        <v>8.6361567742161771</v>
      </c>
      <c r="N18" s="9">
        <f t="shared" si="3"/>
        <v>-25.562769145256496</v>
      </c>
      <c r="P18" s="10">
        <v>8.9300000000000004E-2</v>
      </c>
    </row>
    <row r="19" spans="1:16" x14ac:dyDescent="0.15">
      <c r="A19">
        <v>10</v>
      </c>
      <c r="B19" s="9"/>
      <c r="C19" s="9"/>
      <c r="D19" s="9"/>
      <c r="E19" s="9">
        <f t="shared" si="1"/>
        <v>-13.689195605650319</v>
      </c>
      <c r="F19" s="9"/>
      <c r="G19" s="9"/>
      <c r="H19" s="9">
        <f t="shared" si="4"/>
        <v>3.3013874793346636</v>
      </c>
      <c r="I19" s="9">
        <f t="shared" si="6"/>
        <v>43.80409660839539</v>
      </c>
      <c r="J19" s="9">
        <f t="shared" si="7"/>
        <v>-7.7903090552764471</v>
      </c>
      <c r="K19" s="9">
        <f t="shared" si="5"/>
        <v>28.975810910602302</v>
      </c>
      <c r="L19" s="9">
        <f t="shared" si="2"/>
        <v>18.588002784286644</v>
      </c>
      <c r="M19" s="9">
        <f t="shared" si="0"/>
        <v>7.2627463679134561</v>
      </c>
      <c r="N19" s="9">
        <f t="shared" si="3"/>
        <v>-18.300022777343038</v>
      </c>
      <c r="P19" s="10">
        <v>4.4600000000000001E-2</v>
      </c>
    </row>
    <row r="20" spans="1:16" x14ac:dyDescent="0.15">
      <c r="A20">
        <v>11</v>
      </c>
      <c r="B20" s="9"/>
      <c r="C20" s="9"/>
      <c r="D20" s="9"/>
      <c r="E20" s="9">
        <f t="shared" si="1"/>
        <v>-13.689195605650319</v>
      </c>
      <c r="F20" s="9"/>
      <c r="G20" s="9"/>
      <c r="H20" s="9"/>
      <c r="I20" s="9">
        <f t="shared" si="6"/>
        <v>43.80409660839539</v>
      </c>
      <c r="J20" s="9">
        <f t="shared" si="7"/>
        <v>-7.7903090552764471</v>
      </c>
      <c r="K20" s="9">
        <f t="shared" si="5"/>
        <v>30.956643398203099</v>
      </c>
      <c r="L20" s="9">
        <f t="shared" si="2"/>
        <v>17.26744779255278</v>
      </c>
      <c r="M20" s="9">
        <f t="shared" si="0"/>
        <v>6.077826762656847</v>
      </c>
      <c r="N20" s="9">
        <f t="shared" si="3"/>
        <v>-12.22219601468619</v>
      </c>
    </row>
    <row r="21" spans="1:16" x14ac:dyDescent="0.15">
      <c r="A21">
        <v>12</v>
      </c>
      <c r="B21" s="9"/>
      <c r="C21" s="9"/>
      <c r="D21" s="9"/>
      <c r="E21" s="9">
        <f t="shared" si="1"/>
        <v>-13.689195605650319</v>
      </c>
      <c r="F21" s="9"/>
      <c r="G21" s="9"/>
      <c r="H21" s="9"/>
      <c r="I21" s="9">
        <f t="shared" si="6"/>
        <v>43.80409660839539</v>
      </c>
      <c r="J21" s="9">
        <f t="shared" si="7"/>
        <v>-7.7903090552764471</v>
      </c>
      <c r="K21" s="9">
        <f t="shared" si="5"/>
        <v>30.956643398203099</v>
      </c>
      <c r="L21" s="9">
        <f t="shared" si="2"/>
        <v>17.26744779255278</v>
      </c>
      <c r="M21" s="9">
        <f t="shared" si="0"/>
        <v>5.4752043600851135</v>
      </c>
      <c r="N21" s="9">
        <f t="shared" si="3"/>
        <v>-6.7469916546010769</v>
      </c>
    </row>
    <row r="22" spans="1:16" x14ac:dyDescent="0.15">
      <c r="A22">
        <v>13</v>
      </c>
      <c r="B22" s="9"/>
      <c r="C22" s="9"/>
      <c r="D22" s="9"/>
      <c r="E22" s="9">
        <f t="shared" si="1"/>
        <v>-13.689195605650319</v>
      </c>
      <c r="F22" s="9"/>
      <c r="G22" s="9"/>
      <c r="H22" s="9"/>
      <c r="I22" s="9">
        <f t="shared" si="6"/>
        <v>43.80409660839539</v>
      </c>
      <c r="J22" s="9">
        <f t="shared" si="7"/>
        <v>-7.7903090552764471</v>
      </c>
      <c r="K22" s="9">
        <f t="shared" si="5"/>
        <v>30.956643398203099</v>
      </c>
      <c r="L22" s="9">
        <f t="shared" si="2"/>
        <v>17.26744779255278</v>
      </c>
      <c r="M22" s="9">
        <f t="shared" si="0"/>
        <v>4.9323325516422889</v>
      </c>
      <c r="N22" s="9">
        <f t="shared" si="3"/>
        <v>-1.814659102958788</v>
      </c>
    </row>
    <row r="23" spans="1:16" ht="14.25" thickBot="1" x14ac:dyDescent="0.2">
      <c r="A23">
        <v>14</v>
      </c>
      <c r="B23" s="9"/>
      <c r="C23" s="9"/>
      <c r="D23" s="9"/>
      <c r="E23" s="9">
        <f t="shared" si="1"/>
        <v>-13.689195605650319</v>
      </c>
      <c r="F23" s="9"/>
      <c r="G23" s="9"/>
      <c r="H23" s="9"/>
      <c r="I23" s="9">
        <f t="shared" si="6"/>
        <v>43.80409660839539</v>
      </c>
      <c r="J23" s="9">
        <f t="shared" si="7"/>
        <v>-7.7903090552764471</v>
      </c>
      <c r="K23" s="9">
        <f t="shared" si="5"/>
        <v>30.956643398203099</v>
      </c>
      <c r="L23" s="9">
        <f t="shared" si="2"/>
        <v>17.26744779255278</v>
      </c>
      <c r="M23" s="9">
        <f t="shared" si="0"/>
        <v>4.4432870081240123</v>
      </c>
      <c r="N23" s="9">
        <f t="shared" si="3"/>
        <v>2.6286279051652244</v>
      </c>
    </row>
    <row r="24" spans="1:16" ht="14.25" thickBot="1" x14ac:dyDescent="0.2">
      <c r="A24">
        <v>15</v>
      </c>
      <c r="B24" s="9"/>
      <c r="C24" s="9">
        <f>-WC</f>
        <v>14.420813381671906</v>
      </c>
      <c r="D24" s="9"/>
      <c r="E24" s="9">
        <f t="shared" si="1"/>
        <v>-13.689195605650319</v>
      </c>
      <c r="F24" s="9"/>
      <c r="G24" s="9"/>
      <c r="H24" s="9"/>
      <c r="I24" s="9">
        <f t="shared" si="6"/>
        <v>43.80409660839539</v>
      </c>
      <c r="J24" s="9">
        <f t="shared" si="7"/>
        <v>-7.7903090552764471</v>
      </c>
      <c r="K24" s="9">
        <f t="shared" si="5"/>
        <v>30.956643398203099</v>
      </c>
      <c r="L24" s="9">
        <f>C24+K24+G24+E24</f>
        <v>31.688261174224685</v>
      </c>
      <c r="M24" s="9">
        <f t="shared" si="0"/>
        <v>7.3455892630349977</v>
      </c>
      <c r="N24" s="11">
        <f>N23+M24</f>
        <v>9.974217168200223</v>
      </c>
    </row>
    <row r="25" spans="1:16" x14ac:dyDescent="0.15">
      <c r="C25" s="3"/>
      <c r="D25" s="2"/>
      <c r="E25" s="1"/>
      <c r="F25" s="2"/>
      <c r="G25" s="1"/>
      <c r="H25" s="1"/>
    </row>
    <row r="26" spans="1:16" x14ac:dyDescent="0.15">
      <c r="C26" s="3"/>
      <c r="D26" s="2"/>
      <c r="E26" s="1"/>
      <c r="F26" s="2"/>
      <c r="G26" s="1"/>
      <c r="H26" s="1"/>
    </row>
    <row r="27" spans="1:16" x14ac:dyDescent="0.15">
      <c r="C27" s="3"/>
      <c r="D27" s="2"/>
      <c r="E27" s="1"/>
      <c r="F27" s="2"/>
      <c r="G27" s="1"/>
      <c r="H27" s="1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Simulation">
                <anchor moveWithCells="1" sizeWithCells="1">
                  <from>
                    <xdr:col>2</xdr:col>
                    <xdr:colOff>885825</xdr:colOff>
                    <xdr:row>25</xdr:row>
                    <xdr:rowOff>85725</xdr:rowOff>
                  </from>
                  <to>
                    <xdr:col>4</xdr:col>
                    <xdr:colOff>400050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56"/>
  <sheetViews>
    <sheetView workbookViewId="0">
      <selection sqref="A1:B56"/>
    </sheetView>
  </sheetViews>
  <sheetFormatPr defaultRowHeight="13.5" x14ac:dyDescent="0.15"/>
  <sheetData>
    <row r="1" spans="1:2" x14ac:dyDescent="0.15">
      <c r="A1">
        <v>0</v>
      </c>
      <c r="B1">
        <v>0</v>
      </c>
    </row>
    <row r="2" spans="1:2" x14ac:dyDescent="0.15">
      <c r="A2">
        <v>-76.5</v>
      </c>
      <c r="B2">
        <v>0</v>
      </c>
    </row>
    <row r="3" spans="1:2" x14ac:dyDescent="0.15">
      <c r="A3">
        <v>-73.5</v>
      </c>
      <c r="B3">
        <v>3</v>
      </c>
    </row>
    <row r="4" spans="1:2" x14ac:dyDescent="0.15">
      <c r="A4">
        <v>-70.5</v>
      </c>
      <c r="B4">
        <v>0</v>
      </c>
    </row>
    <row r="5" spans="1:2" x14ac:dyDescent="0.15">
      <c r="A5">
        <v>-67.5</v>
      </c>
      <c r="B5">
        <v>5</v>
      </c>
    </row>
    <row r="6" spans="1:2" x14ac:dyDescent="0.15">
      <c r="A6">
        <v>-64.5</v>
      </c>
      <c r="B6">
        <v>10</v>
      </c>
    </row>
    <row r="7" spans="1:2" x14ac:dyDescent="0.15">
      <c r="A7">
        <v>-61.5</v>
      </c>
      <c r="B7">
        <v>24</v>
      </c>
    </row>
    <row r="8" spans="1:2" x14ac:dyDescent="0.15">
      <c r="A8">
        <v>-58.5</v>
      </c>
      <c r="B8">
        <v>36</v>
      </c>
    </row>
    <row r="9" spans="1:2" x14ac:dyDescent="0.15">
      <c r="A9">
        <v>-55.5</v>
      </c>
      <c r="B9">
        <v>43</v>
      </c>
    </row>
    <row r="10" spans="1:2" x14ac:dyDescent="0.15">
      <c r="A10">
        <v>-52.5</v>
      </c>
      <c r="B10">
        <v>59</v>
      </c>
    </row>
    <row r="11" spans="1:2" x14ac:dyDescent="0.15">
      <c r="A11">
        <v>-49.5</v>
      </c>
      <c r="B11">
        <v>96</v>
      </c>
    </row>
    <row r="12" spans="1:2" x14ac:dyDescent="0.15">
      <c r="A12">
        <v>-46.5</v>
      </c>
      <c r="B12">
        <v>126</v>
      </c>
    </row>
    <row r="13" spans="1:2" x14ac:dyDescent="0.15">
      <c r="A13">
        <v>-43.5</v>
      </c>
      <c r="B13">
        <v>162</v>
      </c>
    </row>
    <row r="14" spans="1:2" x14ac:dyDescent="0.15">
      <c r="A14">
        <v>-40.5</v>
      </c>
      <c r="B14">
        <v>190</v>
      </c>
    </row>
    <row r="15" spans="1:2" x14ac:dyDescent="0.15">
      <c r="A15">
        <v>-37.5</v>
      </c>
      <c r="B15">
        <v>224</v>
      </c>
    </row>
    <row r="16" spans="1:2" x14ac:dyDescent="0.15">
      <c r="A16">
        <v>-34.5</v>
      </c>
      <c r="B16">
        <v>271</v>
      </c>
    </row>
    <row r="17" spans="1:2" x14ac:dyDescent="0.15">
      <c r="A17">
        <v>-31.5</v>
      </c>
      <c r="B17">
        <v>344</v>
      </c>
    </row>
    <row r="18" spans="1:2" x14ac:dyDescent="0.15">
      <c r="A18">
        <v>-28.5</v>
      </c>
      <c r="B18">
        <v>383</v>
      </c>
    </row>
    <row r="19" spans="1:2" x14ac:dyDescent="0.15">
      <c r="A19">
        <v>-25.5</v>
      </c>
      <c r="B19">
        <v>357</v>
      </c>
    </row>
    <row r="20" spans="1:2" x14ac:dyDescent="0.15">
      <c r="A20">
        <v>-22.5</v>
      </c>
      <c r="B20">
        <v>425</v>
      </c>
    </row>
    <row r="21" spans="1:2" x14ac:dyDescent="0.15">
      <c r="A21">
        <v>-19.5</v>
      </c>
      <c r="B21">
        <v>494</v>
      </c>
    </row>
    <row r="22" spans="1:2" x14ac:dyDescent="0.15">
      <c r="A22">
        <v>-16.5</v>
      </c>
      <c r="B22">
        <v>517</v>
      </c>
    </row>
    <row r="23" spans="1:2" x14ac:dyDescent="0.15">
      <c r="A23">
        <v>-13.5</v>
      </c>
      <c r="B23">
        <v>512</v>
      </c>
    </row>
    <row r="24" spans="1:2" x14ac:dyDescent="0.15">
      <c r="A24">
        <v>-10.5</v>
      </c>
      <c r="B24">
        <v>509</v>
      </c>
    </row>
    <row r="25" spans="1:2" x14ac:dyDescent="0.15">
      <c r="A25">
        <v>-7.5</v>
      </c>
      <c r="B25">
        <v>477</v>
      </c>
    </row>
    <row r="26" spans="1:2" x14ac:dyDescent="0.15">
      <c r="A26">
        <v>-4.5</v>
      </c>
      <c r="B26">
        <v>501</v>
      </c>
    </row>
    <row r="27" spans="1:2" x14ac:dyDescent="0.15">
      <c r="A27">
        <v>-1.5</v>
      </c>
      <c r="B27">
        <v>471</v>
      </c>
    </row>
    <row r="28" spans="1:2" x14ac:dyDescent="0.15">
      <c r="A28">
        <v>1.5</v>
      </c>
      <c r="B28">
        <v>446</v>
      </c>
    </row>
    <row r="29" spans="1:2" x14ac:dyDescent="0.15">
      <c r="A29">
        <v>4.5</v>
      </c>
      <c r="B29">
        <v>398</v>
      </c>
    </row>
    <row r="30" spans="1:2" x14ac:dyDescent="0.15">
      <c r="A30">
        <v>7.5</v>
      </c>
      <c r="B30">
        <v>400</v>
      </c>
    </row>
    <row r="31" spans="1:2" x14ac:dyDescent="0.15">
      <c r="A31">
        <v>10.5</v>
      </c>
      <c r="B31">
        <v>360</v>
      </c>
    </row>
    <row r="32" spans="1:2" x14ac:dyDescent="0.15">
      <c r="A32">
        <v>13.5</v>
      </c>
      <c r="B32">
        <v>361</v>
      </c>
    </row>
    <row r="33" spans="1:2" x14ac:dyDescent="0.15">
      <c r="A33">
        <v>16.5</v>
      </c>
      <c r="B33">
        <v>279</v>
      </c>
    </row>
    <row r="34" spans="1:2" x14ac:dyDescent="0.15">
      <c r="A34">
        <v>19.5</v>
      </c>
      <c r="B34">
        <v>252</v>
      </c>
    </row>
    <row r="35" spans="1:2" x14ac:dyDescent="0.15">
      <c r="A35">
        <v>22.5</v>
      </c>
      <c r="B35">
        <v>245</v>
      </c>
    </row>
    <row r="36" spans="1:2" x14ac:dyDescent="0.15">
      <c r="A36">
        <v>25.5</v>
      </c>
      <c r="B36">
        <v>179</v>
      </c>
    </row>
    <row r="37" spans="1:2" x14ac:dyDescent="0.15">
      <c r="A37">
        <v>28.5</v>
      </c>
      <c r="B37">
        <v>159</v>
      </c>
    </row>
    <row r="38" spans="1:2" x14ac:dyDescent="0.15">
      <c r="A38">
        <v>31.5</v>
      </c>
      <c r="B38">
        <v>150</v>
      </c>
    </row>
    <row r="39" spans="1:2" x14ac:dyDescent="0.15">
      <c r="A39">
        <v>34.5</v>
      </c>
      <c r="B39">
        <v>116</v>
      </c>
    </row>
    <row r="40" spans="1:2" x14ac:dyDescent="0.15">
      <c r="A40">
        <v>37.5</v>
      </c>
      <c r="B40">
        <v>100</v>
      </c>
    </row>
    <row r="41" spans="1:2" x14ac:dyDescent="0.15">
      <c r="A41">
        <v>40.5</v>
      </c>
      <c r="B41">
        <v>94</v>
      </c>
    </row>
    <row r="42" spans="1:2" x14ac:dyDescent="0.15">
      <c r="A42">
        <v>43.5</v>
      </c>
      <c r="B42">
        <v>37</v>
      </c>
    </row>
    <row r="43" spans="1:2" x14ac:dyDescent="0.15">
      <c r="A43">
        <v>46.5</v>
      </c>
      <c r="B43">
        <v>54</v>
      </c>
    </row>
    <row r="44" spans="1:2" x14ac:dyDescent="0.15">
      <c r="A44">
        <v>49.5</v>
      </c>
      <c r="B44">
        <v>35</v>
      </c>
    </row>
    <row r="45" spans="1:2" x14ac:dyDescent="0.15">
      <c r="A45">
        <v>52.5</v>
      </c>
      <c r="B45">
        <v>25</v>
      </c>
    </row>
    <row r="46" spans="1:2" x14ac:dyDescent="0.15">
      <c r="A46">
        <v>55.5</v>
      </c>
      <c r="B46">
        <v>19</v>
      </c>
    </row>
    <row r="47" spans="1:2" x14ac:dyDescent="0.15">
      <c r="A47">
        <v>58.5</v>
      </c>
      <c r="B47">
        <v>11</v>
      </c>
    </row>
    <row r="48" spans="1:2" x14ac:dyDescent="0.15">
      <c r="A48">
        <v>61.5</v>
      </c>
      <c r="B48">
        <v>11</v>
      </c>
    </row>
    <row r="49" spans="1:2" x14ac:dyDescent="0.15">
      <c r="A49">
        <v>64.5</v>
      </c>
      <c r="B49">
        <v>10</v>
      </c>
    </row>
    <row r="50" spans="1:2" x14ac:dyDescent="0.15">
      <c r="A50">
        <v>67.5</v>
      </c>
      <c r="B50">
        <v>4</v>
      </c>
    </row>
    <row r="51" spans="1:2" x14ac:dyDescent="0.15">
      <c r="A51">
        <v>70.5</v>
      </c>
      <c r="B51">
        <v>5</v>
      </c>
    </row>
    <row r="52" spans="1:2" x14ac:dyDescent="0.15">
      <c r="A52">
        <v>73.5</v>
      </c>
      <c r="B52">
        <v>3</v>
      </c>
    </row>
    <row r="53" spans="1:2" x14ac:dyDescent="0.15">
      <c r="A53">
        <v>76.5</v>
      </c>
      <c r="B53">
        <v>3</v>
      </c>
    </row>
    <row r="54" spans="1:2" x14ac:dyDescent="0.15">
      <c r="A54">
        <v>79.5</v>
      </c>
      <c r="B54">
        <v>2</v>
      </c>
    </row>
    <row r="55" spans="1:2" x14ac:dyDescent="0.15">
      <c r="A55">
        <v>82.5</v>
      </c>
      <c r="B55">
        <v>1</v>
      </c>
    </row>
    <row r="56" spans="1:2" x14ac:dyDescent="0.15">
      <c r="A56">
        <v>85.5</v>
      </c>
      <c r="B56">
        <v>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2</vt:i4>
      </vt:variant>
      <vt:variant>
        <vt:lpstr>图表</vt:lpstr>
      </vt:variant>
      <vt:variant>
        <vt:i4>1</vt:i4>
      </vt:variant>
      <vt:variant>
        <vt:lpstr>命名范围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z</cp:lastModifiedBy>
  <dcterms:created xsi:type="dcterms:W3CDTF">2013-10-29T18:00:12Z</dcterms:created>
  <dcterms:modified xsi:type="dcterms:W3CDTF">2023-04-22T07:02:14Z</dcterms:modified>
</cp:coreProperties>
</file>